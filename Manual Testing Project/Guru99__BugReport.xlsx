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Summary" sheetId="1" r:id="rId1"/>
    <sheet name="Bug Report" sheetId="2" r:id="rId2"/>
  </sheets>
  <definedNames>
    <definedName name="_xlnm._FilterDatabase" localSheetId="1" hidden="1">'Bug Report'!$A$2:$M$60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H8" i="1"/>
  <c r="E8" i="1"/>
  <c r="H7" i="1"/>
  <c r="E7" i="1"/>
  <c r="B7" i="1"/>
  <c r="H6" i="1"/>
  <c r="E6" i="1"/>
  <c r="B6" i="1"/>
  <c r="B3" i="1"/>
</calcChain>
</file>

<file path=xl/sharedStrings.xml><?xml version="1.0" encoding="utf-8"?>
<sst xmlns="http://schemas.openxmlformats.org/spreadsheetml/2006/main" count="633" uniqueCount="211">
  <si>
    <t>Bug Report Summary — Guru99 Bank Manager</t>
  </si>
  <si>
    <t>Total Bugs</t>
  </si>
  <si>
    <t>Status</t>
  </si>
  <si>
    <t>Count</t>
  </si>
  <si>
    <t>Severity</t>
  </si>
  <si>
    <t>Priority</t>
  </si>
  <si>
    <t>Closed</t>
  </si>
  <si>
    <t>High</t>
  </si>
  <si>
    <t>Reopen</t>
  </si>
  <si>
    <t>Medium</t>
  </si>
  <si>
    <t>Low</t>
  </si>
  <si>
    <t>Source File</t>
  </si>
  <si>
    <t>Bug_Report_Guru99.xlsx</t>
  </si>
  <si>
    <t>BugReport_Guru99.xlsx</t>
  </si>
  <si>
    <t>Guru99 Bank Manager — Consolidated Bug Report</t>
  </si>
  <si>
    <t>Bug #</t>
  </si>
  <si>
    <t>Raised By</t>
  </si>
  <si>
    <t>Version</t>
  </si>
  <si>
    <t>Test Case ID</t>
  </si>
  <si>
    <t>Steps to Reproduce</t>
  </si>
  <si>
    <t>Expected Result</t>
  </si>
  <si>
    <t>Actual Result</t>
  </si>
  <si>
    <t>Screenshot</t>
  </si>
  <si>
    <t>Video Recording</t>
  </si>
  <si>
    <t>closed</t>
  </si>
  <si>
    <t>low</t>
  </si>
  <si>
    <t>Reham Mashaal</t>
  </si>
  <si>
    <t>V3</t>
  </si>
  <si>
    <t>FT-M01</t>
  </si>
  <si>
    <t>1- Open https://www.guru99.com
2- Enter active username
3- Enter matching password
4- Press login button
5- Go to "Fund Transfer" Page
6- Enter Numbers in Payer Account number field
7- Press TAB and move to next field</t>
  </si>
  <si>
    <t>System accept the Payer Account number field</t>
  </si>
  <si>
    <t>FT-M02</t>
  </si>
  <si>
    <t>1- Open https://www.guru99.com
2- Enter active username
3- Enter matching password
4- Press login button
5- Go to "Fund Transfer" Page
6- Enter Characters in Payer Account number field
7- Press TAB and move to next field</t>
  </si>
  <si>
    <t>System displays error message indicating "Characters are not allowed"</t>
  </si>
  <si>
    <t>FT-M03</t>
  </si>
  <si>
    <t>1- Open https://www.guru99.com
2- Enter active username
3- Enter matching password
4- Press login button
5- Go to "Fund Transfer" Page
6- Enter special characters in Payer Account number field
7- Press TAB and move to next field</t>
  </si>
  <si>
    <t>System displays error message indicating "special characters are not allowed"</t>
  </si>
  <si>
    <t>FT-M04</t>
  </si>
  <si>
    <t>1- Open https://www.guru99.com
2- Enter active username
3- Enter matching password
4- Press login button
5- Go to "Fund Transfer" Page
6- Leave Payer Account number blank
7- Press TAB and move to next field</t>
  </si>
  <si>
    <t>System displays error message indicating "Payer Account number is required"</t>
  </si>
  <si>
    <t>FT-M05</t>
  </si>
  <si>
    <t>1- Open https://www.guru99.com
2- Enter active username
3- Enter matching password
4- Press login button
5- Go to "Fund Transfer" Page
6- Enter space in first character of Payer Account number field
7- Press TAB and move to next field</t>
  </si>
  <si>
    <t>System displays error message indicating "
First character cannot have space"</t>
  </si>
  <si>
    <t>FT-M06</t>
  </si>
  <si>
    <t>1- Open https://www.guru99.com
2- Enter active username
3- Enter matching password
4- Press login button
5- Go to "Fund Transfer" Page
6- Enter Numbers in Payee Account number field
7- Press TAB and move to next field</t>
  </si>
  <si>
    <t>System accept the Payee Account number field</t>
  </si>
  <si>
    <t>FT-M07</t>
  </si>
  <si>
    <t>1- Open https://www.guru99.com
2- Enter active username
3- Enter matching password
4- Press login button
5- Go to "Fund Transfer" Page
6- Enter Characters in Payee Account number field
7- Press TAB and move to next field</t>
  </si>
  <si>
    <t>FT-M08</t>
  </si>
  <si>
    <t>1- Open https://www.guru99.com
2- Enter active username
3- Enter matching password
4- Press login button
5- Go to "Fund Transfer" Page
6- Enter special characters in Payee Account number field
7- Press TAB and move to next field</t>
  </si>
  <si>
    <t>FT-M09</t>
  </si>
  <si>
    <t>1- Open https://www.guru99.com
2- Enter active username
3- Enter matching password
4- Press login button
5- Go to "Fund Transfer" Page
6- Leave Payee Account number blank
7- Press TAB and move to next field</t>
  </si>
  <si>
    <t>System displays error message indicating "Payee Account number is required"</t>
  </si>
  <si>
    <t>FT-M10</t>
  </si>
  <si>
    <t>1- Open https://www.guru99.com
2- Enter active username
3- Enter matching password
4- Press login button
5- Go to "Fund Transfer" Page
6- Enter space in first character of Payee Account number field
7- Press TAB and move to next field</t>
  </si>
  <si>
    <t>FT-M11</t>
  </si>
  <si>
    <t>1- Open https://www.guru99.com
2- Enter active username
3- Enter matching password
4- Press login button
5- Go to "Fund Transfer" Page
6- Enter Numbers in Amount field
7- Press TAB and move to next field</t>
  </si>
  <si>
    <t>System accept the Amount field</t>
  </si>
  <si>
    <t>FT-M12</t>
  </si>
  <si>
    <t>1- Open https://www.guru99.com
2- Enter active username
3- Enter matching password
4- Press login button
5- Go to "Fund Transfer" Page
6- Enter Characters in Amount field
7- Press TAB and move to next field</t>
  </si>
  <si>
    <t>FT-M13</t>
  </si>
  <si>
    <t>1- Open https://www.guru99.com
2- Enter active username
3- Enter matching password
4- Press login button
5- Go to "Fund Transfer" Page
6- Enter special characters in Amount field
7- Press TAB and move to next field</t>
  </si>
  <si>
    <t>FT-M14</t>
  </si>
  <si>
    <t>1- Open https://www.guru99.com
2- Enter active username
3- Enter matching password
4- Press login button
5- Go to "Fund Transfer" Page
6- Leave Amount blank
7- Press TAB and move to next field</t>
  </si>
  <si>
    <t>System displays error message indicating "Amount is required"</t>
  </si>
  <si>
    <t>FT-M15</t>
  </si>
  <si>
    <t>1- Open https://www.guru99.com
2- Enter active username
3- Enter matching password
4- Press login button
5- Go to "Fund Transfer" Page
6- Enter space in first character of Amount field
7- Press TAB and move to next field</t>
  </si>
  <si>
    <t>high</t>
  </si>
  <si>
    <t>FT-M16</t>
  </si>
  <si>
    <t>1- Open https://www.guru99.com
2- Enter active username
3- Enter matching password
4- Press login button
5- Go to "Fund Transfer" Page
6- Enter exist payer account number associated with manager
7- Enter exist payee account number different from payer
8- Enter sufficient amount
9- Press submit</t>
  </si>
  <si>
    <t>System will transfer the funds successfully
and payer account balance will decrease with the same amount of the increment of payee account number</t>
  </si>
  <si>
    <t>FT-M17</t>
  </si>
  <si>
    <t>1- Open https://www.guru99.com
2- Enter active username
3- Enter matching password
4- Press login button
5- Go to "Fund Transfer" Page
6- Enter exist payer account number associated with manager
7- Enter not exist payee account number
8- Enter sufficient amount
9- Press submit</t>
  </si>
  <si>
    <t>System will display error message indicating "Payee account number doesn't exist"</t>
  </si>
  <si>
    <t>FT-M18</t>
  </si>
  <si>
    <t>1- Open https://www.guru99.com
2- Enter active username
3- Enter matching password
4- Press login button
5- Go to "Fund Transfer" Page
6- Enter not exist payer account number
7- Enter exist payee account number
8- Enter amount
9- Press submit</t>
  </si>
  <si>
    <t>System will display error message indicating
 "Payer account number doesn't exist"</t>
  </si>
  <si>
    <t>reopen</t>
  </si>
  <si>
    <t>FT-M19</t>
  </si>
  <si>
    <t>1- Open https://www.guru99.com
2- Enter active username
3- Enter matching password
4- Press login button
5- Go to "Fund Transfer" Page
6- Enter exist payer account number not associated
7- Enter exist payee account number
8- Enter sufficient amount
9- Press submit</t>
  </si>
  <si>
    <t>System will display error message indicating
 "you are not authorized"</t>
  </si>
  <si>
    <t>System  transfered the funds successfully</t>
  </si>
  <si>
    <t>https://drive.google.com/file/d/1ZKnch1R2zEH9hvpXN396S5-OMhkH2CIU/view?usp=sharing</t>
  </si>
  <si>
    <t>FT-M20</t>
  </si>
  <si>
    <t>1- Open https://www.guru99.com
2- Enter active username
3- Enter matching password
4- Press login button
5- Go to "Fund Transfer" Page
6- Enter exist payer account number
7- Enter same account number as payee
8- Enter amount
9- Press submit</t>
  </si>
  <si>
    <t>System will display error message indicating "Accounts cannot be the same"</t>
  </si>
  <si>
    <t>https://drive.google.com/file/d/1lN-Z8jXppd76XcOEUaluLWti9zacbTqh/view?usp=sharing</t>
  </si>
  <si>
    <t>FT-M21</t>
  </si>
  <si>
    <t>1- Open https://www.guru99.com
2- Enter active username
3- Enter matching password
4- Press login button
5- Go to "Fund Transfer" Page
6- Enter exist payer account number associated with manager
7- Enter exist payee account number
8- Enter not sufficient amount
9- Press submit</t>
  </si>
  <si>
    <t>System will display error message indicating "Amount is not sufficient"</t>
  </si>
  <si>
    <t>FT-C20</t>
  </si>
  <si>
    <t>1- Open Website via
https://www.guru99.com
2- Enter active username
3- Enter matching password
4- press login button
5- Go to "Fund Transfer" Page
6- Enter exist payer account number
7- Enter exist payee account number to be the same exist payer account number
8- Enter amount
9- press submit</t>
  </si>
  <si>
    <t xml:space="preserve">BE-M06 </t>
  </si>
  <si>
    <t>1- Open Website via
https://www.guru99.com
2- Enter active username
3- Enter matching password
4- press login button
5- Go to "Balance Enquiry" Page
6- Enter exist account number 
associated with manager
7- press submit</t>
  </si>
  <si>
    <t>System will display the balance successfully</t>
  </si>
  <si>
    <t>System displays error message says "This page isn’t working"</t>
  </si>
  <si>
    <t>https://drive.google.com/file/d/1O4pD8NgRI-0SQdrwl2V5xyNCnWHjrR96/view?usp=sharing</t>
  </si>
  <si>
    <t xml:space="preserve">BE-M07 </t>
  </si>
  <si>
    <t>1- Open Website via
https://www.guru99.com
2- Enter active username
3- Enter matching password
4- press login button
5- Go to "Balance Enquiry" Page
6- Enter exist account number 
not associated with manager
7- press submit</t>
  </si>
  <si>
    <t>System displays error message indicating "You are not authorized"</t>
  </si>
  <si>
    <t>System displays error message saying "This page isn't working"</t>
  </si>
  <si>
    <t xml:space="preserve">
BE-C06</t>
  </si>
  <si>
    <t>"1- Open Website via
https://www.guru99.com
2- Enter active username
3- Enter matching password
4- press login button
5- Go to ""Balance Enquiry"" Page
6- Enter exist account number belongs to customer
7- press submit</t>
  </si>
  <si>
    <t>D_M11</t>
  </si>
  <si>
    <t>cessfully deposit money Manager is logged in 1. Enter a valid account number.2. Enter a valid amount.3. Enter a valid description.4. Click Submit.</t>
  </si>
  <si>
    <t>System deposits the amount successfully and displays a success message.</t>
  </si>
  <si>
    <t>https://drive.google.com/file/d/1mJ99U-mxqxBDVnOiJv7nZ33XacsWH9Bk/view?usp=sharing</t>
  </si>
  <si>
    <t>D_M13</t>
  </si>
  <si>
    <t>1. Enter an account number that is not associated with the manager.2. Enter valid amount and description.3. Click Submit.</t>
  </si>
  <si>
    <t>System displays an error message: the account is not associated with the manager."</t>
  </si>
  <si>
    <t>W_M09</t>
  </si>
  <si>
    <t>1. Go to Withdrawal page2. Enter valid account number3. Enter valid amount4. Click Submit</t>
  </si>
  <si>
    <t>Withdrawal completed successfully</t>
  </si>
  <si>
    <t>https://drive.google.com/file/d/1TJRDRo6S5Y51S7upNVOnPV3-RqULgBkB/view?usp=sharing</t>
  </si>
  <si>
    <t>W_M11</t>
  </si>
  <si>
    <t>1. Go to Withdrawal page2. Enter account not associated with manager3. Enter valid amount4. Click Submit</t>
  </si>
  <si>
    <t>System displays association error message</t>
  </si>
  <si>
    <t>W_M12</t>
  </si>
  <si>
    <t>1. Go to Withdrawal page2. Enter valid account number3. Enter amount greater than available balance4. Click Submit</t>
  </si>
  <si>
    <t>System displays "Insufficient Balance"</t>
  </si>
  <si>
    <t>V4</t>
  </si>
  <si>
    <t>MS-M06</t>
  </si>
  <si>
    <t>1- Go to "Mini Statement" Page
2- Enter Numbers in Account number field
3. Submit request</t>
  </si>
  <si>
    <t>Transaction processed successfully</t>
  </si>
  <si>
    <t>The system redirected to an empty page</t>
  </si>
  <si>
    <t>https://drive.google.com/file/d/1fI_T_s4jiU5-j_C93AJxO9sp0ogiNDnM/view?usp=sharing</t>
  </si>
  <si>
    <t>MS-M07</t>
  </si>
  <si>
    <t>1- Go to "Mini Statement" Page
2- Enter invalid account number 3. Submit request</t>
  </si>
  <si>
    <t>System displays an error"account not exist"</t>
  </si>
  <si>
    <t>MS-M09</t>
  </si>
  <si>
    <t>1- Go to "Mini Statement" Page
2-  Enter valid account number not linked to manager 3. Submit request</t>
  </si>
  <si>
    <t>System displays “Account not associated with manager” error</t>
  </si>
  <si>
    <t>MS-M08</t>
  </si>
  <si>
    <t>1- Go to "Mini Statement" Page
1. Enter valid account number with no Transaction  3. Submit request</t>
  </si>
  <si>
    <t>System displays “Transaction does not exist” error</t>
  </si>
  <si>
    <t>V2</t>
  </si>
  <si>
    <t>CS_M05</t>
  </si>
  <si>
    <t>1-go to "Customized Statement" 2-Enter special characters in Amount Lower Limit field and submit request</t>
  </si>
  <si>
    <t>System displays an error message indicating that special characters are not allowed</t>
  </si>
  <si>
    <t>Special characters are not allowed</t>
  </si>
  <si>
    <t>CS_M06</t>
  </si>
  <si>
    <t>1-go to "Customized Statement" 2-Leave Amount Lower Limit field blank and submit request</t>
  </si>
  <si>
    <t>System displays an error message indicating that Amount Lower Limit is required</t>
  </si>
  <si>
    <t>System incorrectly accepts a blank Amount field.</t>
  </si>
  <si>
    <t>CS_M07</t>
  </si>
  <si>
    <t>1-go to "Customized Statement" 2-Enter characters in Amount Lower Limit field and submit request</t>
  </si>
  <si>
    <t>System displays an error message indicating that characters are not allowed</t>
  </si>
  <si>
    <t>Characters are not allowed</t>
  </si>
  <si>
    <t>CS_M08</t>
  </si>
  <si>
    <t>1-go to "Customized Statement" 2-Enter special characters in Number of Transaction field and submit request</t>
  </si>
  <si>
    <t>CS_M09</t>
  </si>
  <si>
    <t>1-go to "Customized Statement" 2-Leave Number of Transaction field blank and submit request</t>
  </si>
  <si>
    <t>System displays an error message indicating that Number of Transaction is required</t>
  </si>
  <si>
    <t>System incorrectly accepts a blank No. of Transactions field</t>
  </si>
  <si>
    <t>CS_M10</t>
  </si>
  <si>
    <t>1-go to "Customized Statement" 2-Enter characters in Number of Transaction field and submit request</t>
  </si>
  <si>
    <t>CS_M11</t>
  </si>
  <si>
    <t>1-go to "Customized Statement" 2-Enter valid account number and valid date range then submit request</t>
  </si>
  <si>
    <t>System displays customized statement successfully</t>
  </si>
  <si>
    <t>System redirected to an empty page</t>
  </si>
  <si>
    <t>https://drive.google.com/file/d/1xFQNJU42EiO7oBtRMgD6TIE7sptlPdRB/view?usp=sharing</t>
  </si>
  <si>
    <t>CS_M12</t>
  </si>
  <si>
    <t>1-go to "Customized Statement" 2-Enter invalid account number and submit request</t>
  </si>
  <si>
    <t>System displays an error message for invalid account number</t>
  </si>
  <si>
    <t>CS_M13</t>
  </si>
  <si>
    <t>1-go to "Customized Statement" 2-Enter From Date greater than To Date and submit request</t>
  </si>
  <si>
    <t>System displays an error message indicating invalid date range</t>
  </si>
  <si>
    <t>CS_M14</t>
  </si>
  <si>
    <t>1-go to "Customized Statement" 2 Enter valid account number not linked to manager 2. Submit request</t>
  </si>
  <si>
    <t>MS_C06</t>
  </si>
  <si>
    <t>1- Go to "Mini Statement"2- Enter valid account number3- Submit request</t>
  </si>
  <si>
    <t>Mini statement is displayed successfully for valid account number</t>
  </si>
  <si>
    <t>Customer flow is not ready / System redirected to empty page</t>
  </si>
  <si>
    <t>MS_C07</t>
  </si>
  <si>
    <t>1- Go to "Mini Statement"2- Enter invalid account number3- Submit request</t>
  </si>
  <si>
    <t>Error message displayed for invalid account number</t>
  </si>
  <si>
    <t>MS_C08</t>
  </si>
  <si>
    <t>1- Go to "Mini Statement"2- Enter valid account not associated with logged-in customer3- Submit request</t>
  </si>
  <si>
    <t>Error message displayed for unauthorized account access</t>
  </si>
  <si>
    <t>MS_C09</t>
  </si>
  <si>
    <t>1- Go to "Mini Statement"2- Enter account number3- Submit request</t>
  </si>
  <si>
    <t>Customer can access only their own accounts</t>
  </si>
  <si>
    <t>CS_C06</t>
  </si>
  <si>
    <t>1- Go to "Customized Statement"2- Leave Minimum Transaction Value blank3- Submit request</t>
  </si>
  <si>
    <t>Error message: "Minimum Transaction Value is required"</t>
  </si>
  <si>
    <t>CS_C07</t>
  </si>
  <si>
    <t>1- Go to "Customized Statement"2- Enter alphabetic characters in Minimum Transaction Value3- Submit request</t>
  </si>
  <si>
    <t>Error message: "Characters are not allowed"</t>
  </si>
  <si>
    <t>CS_C08</t>
  </si>
  <si>
    <t>1- Go to "Customized Statement"2- Enter special characters in Number of Transaction3- Submit request</t>
  </si>
  <si>
    <t>Error message: "Special characters are not allowed"</t>
  </si>
  <si>
    <t>CS_C09</t>
  </si>
  <si>
    <t>1- Go to "Customized Statement"2- Leave Number of Transaction blank3- Submit request</t>
  </si>
  <si>
    <t>Error message: "Number of Transaction is required"</t>
  </si>
  <si>
    <t>CS_C10</t>
  </si>
  <si>
    <t>1- Go to "Customized Statement"2- Enter alphabetic characters in Number of Transaction3- Submit request</t>
  </si>
  <si>
    <t>CS_C11</t>
  </si>
  <si>
    <t>1- Go to "Customized Statement"2- Enter invalid From Date format3- Submit request</t>
  </si>
  <si>
    <t>Error message: "Invalid From Date format"</t>
  </si>
  <si>
    <t>CS_C12</t>
  </si>
  <si>
    <t>1- Go to "Customized Statement"2- Enter invalid To Date format3- Submit request</t>
  </si>
  <si>
    <t>Error message: "Invalid To Date format"</t>
  </si>
  <si>
    <t>CS_C13</t>
  </si>
  <si>
    <t>1- Go to "Customized Statement"2- Enter From Date greater than To Date3- Submit request</t>
  </si>
  <si>
    <t>Error message: "From Date cannot be greater than To Date"</t>
  </si>
  <si>
    <t>CS_C14</t>
  </si>
  <si>
    <t>1- Go to "Customized Statement"2- Enter valid data in all fields3- Submit request</t>
  </si>
  <si>
    <t>Customized statement displayed with filtered results</t>
  </si>
  <si>
    <t>CS_C15</t>
  </si>
  <si>
    <t>1- Go to "Customized Statement"2- Enter account not belonging to customer3- Submit request</t>
  </si>
  <si>
    <t>Error: "Unauthorized access - account does not belong to user"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</si>
</sst>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8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C6E0B4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D9D9D9"/>
      </patternFill>
    </fill>
    <fill>
      <patternFill patternType="solid">
        <fgColor theme="6" tint="0.39997558519241921"/>
        <b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Bugs by Status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Summary!$A$6:$A$7</c:f>
              <c:strCache>
                <c:ptCount val="2"/>
                <c:pt idx="0">
                  <c:v>Closed</c:v>
                </c:pt>
                <c:pt idx="1">
                  <c:v>Reopen</c:v>
                </c:pt>
              </c:strCache>
            </c:strRef>
          </c:cat>
          <c:val>
            <c:numRef>
              <c:f>Summary!$B$6:$B$7</c:f>
              <c:numCache>
                <c:formatCode>General</c:formatCode>
                <c:ptCount val="2"/>
                <c:pt idx="0">
                  <c:v>23</c:v>
                </c:pt>
                <c:pt idx="1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Bugs by Severity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Summary!$D$6:$D$8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Summary!$E$6:$E$8</c:f>
              <c:numCache>
                <c:formatCode>General</c:formatCode>
                <c:ptCount val="3"/>
                <c:pt idx="0">
                  <c:v>37</c:v>
                </c:pt>
                <c:pt idx="1">
                  <c:v>0</c:v>
                </c:pt>
                <c:pt idx="2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8342400"/>
        <c:axId val="228364672"/>
      </c:barChart>
      <c:catAx>
        <c:axId val="22834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8364672"/>
        <c:crosses val="autoZero"/>
        <c:auto val="1"/>
        <c:lblAlgn val="ctr"/>
        <c:lblOffset val="100"/>
        <c:noMultiLvlLbl val="0"/>
      </c:catAx>
      <c:valAx>
        <c:axId val="228364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83424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3</xdr:col>
      <xdr:colOff>1005328</xdr:colOff>
      <xdr:row>27</xdr:row>
      <xdr:rowOff>43200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9</xdr:col>
      <xdr:colOff>309960</xdr:colOff>
      <xdr:row>27</xdr:row>
      <xdr:rowOff>43200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tabSelected="1" zoomScale="85" zoomScaleNormal="85" workbookViewId="0">
      <selection activeCell="K4" sqref="K4"/>
    </sheetView>
  </sheetViews>
  <sheetFormatPr defaultColWidth="8.7109375" defaultRowHeight="15" x14ac:dyDescent="0.25"/>
  <cols>
    <col min="1" max="1" width="22" customWidth="1"/>
    <col min="2" max="2" width="10" customWidth="1"/>
    <col min="3" max="3" width="4" customWidth="1"/>
    <col min="4" max="4" width="50.140625" customWidth="1"/>
    <col min="5" max="5" width="10" customWidth="1"/>
    <col min="6" max="6" width="4" customWidth="1"/>
    <col min="7" max="7" width="14" customWidth="1"/>
    <col min="8" max="8" width="10" customWidth="1"/>
  </cols>
  <sheetData>
    <row r="1" spans="1:8" ht="27.75" customHeight="1" x14ac:dyDescent="0.25">
      <c r="A1" s="9" t="s">
        <v>0</v>
      </c>
      <c r="B1" s="9"/>
      <c r="C1" s="9"/>
      <c r="D1" s="9"/>
    </row>
    <row r="3" spans="1:8" x14ac:dyDescent="0.25">
      <c r="A3" s="1" t="s">
        <v>1</v>
      </c>
      <c r="B3" s="1">
        <f>COUNTA('Bug Report'!A3:A60)</f>
        <v>58</v>
      </c>
    </row>
    <row r="5" spans="1:8" x14ac:dyDescent="0.25">
      <c r="A5" s="2" t="s">
        <v>2</v>
      </c>
      <c r="B5" s="2" t="s">
        <v>3</v>
      </c>
      <c r="D5" s="2" t="s">
        <v>4</v>
      </c>
      <c r="E5" s="2" t="s">
        <v>3</v>
      </c>
      <c r="G5" s="2" t="s">
        <v>5</v>
      </c>
      <c r="H5" s="2" t="s">
        <v>3</v>
      </c>
    </row>
    <row r="6" spans="1:8" x14ac:dyDescent="0.25">
      <c r="A6" s="1" t="s">
        <v>6</v>
      </c>
      <c r="B6" s="1">
        <f>SUMPRODUCT((LOWER('Bug Report'!B3:B60)="closed")*1)</f>
        <v>23</v>
      </c>
      <c r="D6" s="1" t="s">
        <v>7</v>
      </c>
      <c r="E6" s="1">
        <f>SUMPRODUCT((LOWER('Bug Report'!C3:C60)="high")*1)</f>
        <v>37</v>
      </c>
      <c r="G6" s="1" t="s">
        <v>7</v>
      </c>
      <c r="H6" s="1">
        <f>SUMPRODUCT((LOWER('Bug Report'!D3:D60)="high")*1)</f>
        <v>37</v>
      </c>
    </row>
    <row r="7" spans="1:8" x14ac:dyDescent="0.25">
      <c r="A7" s="1" t="s">
        <v>8</v>
      </c>
      <c r="B7" s="1">
        <f>SUMPRODUCT((LOWER('Bug Report'!B3:B60)="reopen")*1)</f>
        <v>35</v>
      </c>
      <c r="D7" s="1" t="s">
        <v>9</v>
      </c>
      <c r="E7" s="1">
        <f>SUMPRODUCT((LOWER('Bug Report'!C3:C60)="medium")*1)</f>
        <v>0</v>
      </c>
      <c r="G7" s="1" t="s">
        <v>9</v>
      </c>
      <c r="H7" s="1">
        <f>SUMPRODUCT((LOWER('Bug Report'!D3:D60)="medium")*1)</f>
        <v>0</v>
      </c>
    </row>
    <row r="8" spans="1:8" x14ac:dyDescent="0.25">
      <c r="D8" s="1" t="s">
        <v>10</v>
      </c>
      <c r="E8" s="1">
        <f>SUMPRODUCT((LOWER('Bug Report'!C3:C60)="low")*1)</f>
        <v>21</v>
      </c>
      <c r="G8" s="1" t="s">
        <v>10</v>
      </c>
      <c r="H8" s="1">
        <f>SUMPRODUCT((LOWER('Bug Report'!D3:D60)="low")*1)</f>
        <v>21</v>
      </c>
    </row>
    <row r="10" spans="1:8" x14ac:dyDescent="0.25">
      <c r="A10" s="2" t="s">
        <v>11</v>
      </c>
      <c r="B10" s="2" t="s">
        <v>3</v>
      </c>
    </row>
    <row r="11" spans="1:8" x14ac:dyDescent="0.25">
      <c r="A11" s="1" t="s">
        <v>12</v>
      </c>
      <c r="B11" s="1">
        <f>SUMPRODUCT(('Bug Report'!M3:M60="Bug_Report_Guru99.xlsx")*1)</f>
        <v>30</v>
      </c>
    </row>
    <row r="12" spans="1:8" x14ac:dyDescent="0.25">
      <c r="A12" s="1" t="s">
        <v>13</v>
      </c>
      <c r="B12" s="1">
        <f>SUMPRODUCT(('Bug Report'!M3:M60="BugReport_Guru99.xlsx")*1)</f>
        <v>28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zoomScaleNormal="100" workbookViewId="0">
      <pane ySplit="2" topLeftCell="A3" activePane="bottomLeft" state="frozen"/>
      <selection pane="bottomLeft" activeCell="K59" sqref="K59"/>
    </sheetView>
  </sheetViews>
  <sheetFormatPr defaultColWidth="8.7109375" defaultRowHeight="15" x14ac:dyDescent="0.25"/>
  <cols>
    <col min="1" max="1" width="8" customWidth="1"/>
    <col min="2" max="4" width="12" customWidth="1"/>
    <col min="5" max="5" width="16" customWidth="1"/>
    <col min="6" max="6" width="10" customWidth="1"/>
    <col min="7" max="7" width="14" customWidth="1"/>
    <col min="8" max="8" width="60" customWidth="1"/>
    <col min="9" max="10" width="40" customWidth="1"/>
    <col min="11" max="11" width="30" customWidth="1"/>
    <col min="12" max="12" width="22" customWidth="1"/>
    <col min="13" max="13" width="24" customWidth="1"/>
  </cols>
  <sheetData>
    <row r="1" spans="1:13" ht="31.5" customHeight="1" x14ac:dyDescent="0.25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0" customHeight="1" x14ac:dyDescent="0.25">
      <c r="A2" s="3" t="s">
        <v>15</v>
      </c>
      <c r="B2" s="3" t="s">
        <v>2</v>
      </c>
      <c r="C2" s="3" t="s">
        <v>4</v>
      </c>
      <c r="D2" s="3" t="s">
        <v>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11</v>
      </c>
    </row>
    <row r="3" spans="1:13" ht="89.25" x14ac:dyDescent="0.25">
      <c r="A3" s="4">
        <v>1</v>
      </c>
      <c r="B3" s="5" t="s">
        <v>24</v>
      </c>
      <c r="C3" s="5" t="s">
        <v>25</v>
      </c>
      <c r="D3" s="5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30</v>
      </c>
      <c r="K3" s="4"/>
      <c r="L3" s="4"/>
      <c r="M3" s="4" t="s">
        <v>12</v>
      </c>
    </row>
    <row r="4" spans="1:13" ht="89.25" x14ac:dyDescent="0.25">
      <c r="A4" s="6">
        <v>2</v>
      </c>
      <c r="B4" s="5" t="s">
        <v>24</v>
      </c>
      <c r="C4" s="5" t="s">
        <v>25</v>
      </c>
      <c r="D4" s="5" t="s">
        <v>25</v>
      </c>
      <c r="E4" s="6" t="s">
        <v>26</v>
      </c>
      <c r="F4" s="6" t="s">
        <v>27</v>
      </c>
      <c r="G4" s="6" t="s">
        <v>31</v>
      </c>
      <c r="H4" s="6" t="s">
        <v>32</v>
      </c>
      <c r="I4" s="6" t="s">
        <v>33</v>
      </c>
      <c r="J4" s="6" t="s">
        <v>33</v>
      </c>
      <c r="K4" s="6"/>
      <c r="L4" s="6"/>
      <c r="M4" s="6" t="s">
        <v>12</v>
      </c>
    </row>
    <row r="5" spans="1:13" ht="89.25" x14ac:dyDescent="0.25">
      <c r="A5" s="4">
        <v>3</v>
      </c>
      <c r="B5" s="5" t="s">
        <v>24</v>
      </c>
      <c r="C5" s="5" t="s">
        <v>25</v>
      </c>
      <c r="D5" s="5" t="s">
        <v>25</v>
      </c>
      <c r="E5" s="4" t="s">
        <v>26</v>
      </c>
      <c r="F5" s="4" t="s">
        <v>27</v>
      </c>
      <c r="G5" s="4" t="s">
        <v>34</v>
      </c>
      <c r="H5" s="4" t="s">
        <v>35</v>
      </c>
      <c r="I5" s="4" t="s">
        <v>36</v>
      </c>
      <c r="J5" s="4" t="s">
        <v>36</v>
      </c>
      <c r="K5" s="4"/>
      <c r="L5" s="4"/>
      <c r="M5" s="4" t="s">
        <v>12</v>
      </c>
    </row>
    <row r="6" spans="1:13" ht="89.25" x14ac:dyDescent="0.25">
      <c r="A6" s="6">
        <v>4</v>
      </c>
      <c r="B6" s="5" t="s">
        <v>24</v>
      </c>
      <c r="C6" s="5" t="s">
        <v>25</v>
      </c>
      <c r="D6" s="5" t="s">
        <v>25</v>
      </c>
      <c r="E6" s="6" t="s">
        <v>26</v>
      </c>
      <c r="F6" s="6" t="s">
        <v>27</v>
      </c>
      <c r="G6" s="6" t="s">
        <v>37</v>
      </c>
      <c r="H6" s="6" t="s">
        <v>38</v>
      </c>
      <c r="I6" s="6" t="s">
        <v>39</v>
      </c>
      <c r="J6" s="6" t="s">
        <v>39</v>
      </c>
      <c r="K6" s="6"/>
      <c r="L6" s="6"/>
      <c r="M6" s="6" t="s">
        <v>12</v>
      </c>
    </row>
    <row r="7" spans="1:13" ht="89.25" x14ac:dyDescent="0.25">
      <c r="A7" s="4">
        <v>5</v>
      </c>
      <c r="B7" s="5" t="s">
        <v>24</v>
      </c>
      <c r="C7" s="5" t="s">
        <v>25</v>
      </c>
      <c r="D7" s="5" t="s">
        <v>25</v>
      </c>
      <c r="E7" s="4" t="s">
        <v>26</v>
      </c>
      <c r="F7" s="4" t="s">
        <v>27</v>
      </c>
      <c r="G7" s="4" t="s">
        <v>40</v>
      </c>
      <c r="H7" s="4" t="s">
        <v>41</v>
      </c>
      <c r="I7" s="4" t="s">
        <v>42</v>
      </c>
      <c r="J7" s="4" t="s">
        <v>42</v>
      </c>
      <c r="K7" s="4"/>
      <c r="L7" s="4"/>
      <c r="M7" s="4" t="s">
        <v>12</v>
      </c>
    </row>
    <row r="8" spans="1:13" ht="89.25" x14ac:dyDescent="0.25">
      <c r="A8" s="6">
        <v>6</v>
      </c>
      <c r="B8" s="5" t="s">
        <v>24</v>
      </c>
      <c r="C8" s="5" t="s">
        <v>25</v>
      </c>
      <c r="D8" s="5" t="s">
        <v>25</v>
      </c>
      <c r="E8" s="6" t="s">
        <v>26</v>
      </c>
      <c r="F8" s="6" t="s">
        <v>27</v>
      </c>
      <c r="G8" s="6" t="s">
        <v>43</v>
      </c>
      <c r="H8" s="6" t="s">
        <v>44</v>
      </c>
      <c r="I8" s="6" t="s">
        <v>45</v>
      </c>
      <c r="J8" s="6" t="s">
        <v>45</v>
      </c>
      <c r="K8" s="6"/>
      <c r="L8" s="6"/>
      <c r="M8" s="6" t="s">
        <v>12</v>
      </c>
    </row>
    <row r="9" spans="1:13" ht="89.25" x14ac:dyDescent="0.25">
      <c r="A9" s="4">
        <v>7</v>
      </c>
      <c r="B9" s="5" t="s">
        <v>24</v>
      </c>
      <c r="C9" s="5" t="s">
        <v>25</v>
      </c>
      <c r="D9" s="5" t="s">
        <v>25</v>
      </c>
      <c r="E9" s="4" t="s">
        <v>26</v>
      </c>
      <c r="F9" s="4" t="s">
        <v>27</v>
      </c>
      <c r="G9" s="4" t="s">
        <v>46</v>
      </c>
      <c r="H9" s="4" t="s">
        <v>47</v>
      </c>
      <c r="I9" s="4" t="s">
        <v>33</v>
      </c>
      <c r="J9" s="4" t="s">
        <v>33</v>
      </c>
      <c r="K9" s="4"/>
      <c r="L9" s="4"/>
      <c r="M9" s="4" t="s">
        <v>12</v>
      </c>
    </row>
    <row r="10" spans="1:13" ht="89.25" x14ac:dyDescent="0.25">
      <c r="A10" s="6">
        <v>8</v>
      </c>
      <c r="B10" s="5" t="s">
        <v>24</v>
      </c>
      <c r="C10" s="5" t="s">
        <v>25</v>
      </c>
      <c r="D10" s="5" t="s">
        <v>25</v>
      </c>
      <c r="E10" s="6" t="s">
        <v>26</v>
      </c>
      <c r="F10" s="6" t="s">
        <v>27</v>
      </c>
      <c r="G10" s="6" t="s">
        <v>48</v>
      </c>
      <c r="H10" s="6" t="s">
        <v>49</v>
      </c>
      <c r="I10" s="6" t="s">
        <v>36</v>
      </c>
      <c r="J10" s="6" t="s">
        <v>36</v>
      </c>
      <c r="K10" s="6"/>
      <c r="L10" s="6"/>
      <c r="M10" s="6" t="s">
        <v>12</v>
      </c>
    </row>
    <row r="11" spans="1:13" ht="89.25" x14ac:dyDescent="0.25">
      <c r="A11" s="4">
        <v>9</v>
      </c>
      <c r="B11" s="5" t="s">
        <v>24</v>
      </c>
      <c r="C11" s="5" t="s">
        <v>25</v>
      </c>
      <c r="D11" s="5" t="s">
        <v>25</v>
      </c>
      <c r="E11" s="4" t="s">
        <v>26</v>
      </c>
      <c r="F11" s="4" t="s">
        <v>27</v>
      </c>
      <c r="G11" s="4" t="s">
        <v>50</v>
      </c>
      <c r="H11" s="4" t="s">
        <v>51</v>
      </c>
      <c r="I11" s="4" t="s">
        <v>52</v>
      </c>
      <c r="J11" s="4" t="s">
        <v>52</v>
      </c>
      <c r="K11" s="4"/>
      <c r="L11" s="4"/>
      <c r="M11" s="4" t="s">
        <v>12</v>
      </c>
    </row>
    <row r="12" spans="1:13" ht="89.25" x14ac:dyDescent="0.25">
      <c r="A12" s="6">
        <v>10</v>
      </c>
      <c r="B12" s="5" t="s">
        <v>24</v>
      </c>
      <c r="C12" s="5" t="s">
        <v>25</v>
      </c>
      <c r="D12" s="5" t="s">
        <v>25</v>
      </c>
      <c r="E12" s="6" t="s">
        <v>26</v>
      </c>
      <c r="F12" s="6" t="s">
        <v>27</v>
      </c>
      <c r="G12" s="6" t="s">
        <v>53</v>
      </c>
      <c r="H12" s="6" t="s">
        <v>54</v>
      </c>
      <c r="I12" s="6" t="s">
        <v>42</v>
      </c>
      <c r="J12" s="6" t="s">
        <v>42</v>
      </c>
      <c r="K12" s="6"/>
      <c r="L12" s="6"/>
      <c r="M12" s="6" t="s">
        <v>12</v>
      </c>
    </row>
    <row r="13" spans="1:13" ht="89.25" x14ac:dyDescent="0.25">
      <c r="A13" s="4">
        <v>11</v>
      </c>
      <c r="B13" s="5" t="s">
        <v>24</v>
      </c>
      <c r="C13" s="5" t="s">
        <v>25</v>
      </c>
      <c r="D13" s="5" t="s">
        <v>25</v>
      </c>
      <c r="E13" s="4" t="s">
        <v>26</v>
      </c>
      <c r="F13" s="4" t="s">
        <v>27</v>
      </c>
      <c r="G13" s="4" t="s">
        <v>55</v>
      </c>
      <c r="H13" s="4" t="s">
        <v>56</v>
      </c>
      <c r="I13" s="4" t="s">
        <v>57</v>
      </c>
      <c r="J13" s="4" t="s">
        <v>57</v>
      </c>
      <c r="K13" s="4"/>
      <c r="L13" s="4"/>
      <c r="M13" s="4" t="s">
        <v>12</v>
      </c>
    </row>
    <row r="14" spans="1:13" ht="89.25" x14ac:dyDescent="0.25">
      <c r="A14" s="6">
        <v>12</v>
      </c>
      <c r="B14" s="5" t="s">
        <v>24</v>
      </c>
      <c r="C14" s="5" t="s">
        <v>25</v>
      </c>
      <c r="D14" s="5" t="s">
        <v>25</v>
      </c>
      <c r="E14" s="6" t="s">
        <v>26</v>
      </c>
      <c r="F14" s="6" t="s">
        <v>27</v>
      </c>
      <c r="G14" s="6" t="s">
        <v>58</v>
      </c>
      <c r="H14" s="6" t="s">
        <v>59</v>
      </c>
      <c r="I14" s="6" t="s">
        <v>33</v>
      </c>
      <c r="J14" s="6" t="s">
        <v>33</v>
      </c>
      <c r="K14" s="6"/>
      <c r="L14" s="6"/>
      <c r="M14" s="6" t="s">
        <v>12</v>
      </c>
    </row>
    <row r="15" spans="1:13" ht="89.25" x14ac:dyDescent="0.25">
      <c r="A15" s="4">
        <v>13</v>
      </c>
      <c r="B15" s="5" t="s">
        <v>24</v>
      </c>
      <c r="C15" s="5" t="s">
        <v>25</v>
      </c>
      <c r="D15" s="5" t="s">
        <v>25</v>
      </c>
      <c r="E15" s="4" t="s">
        <v>26</v>
      </c>
      <c r="F15" s="4" t="s">
        <v>27</v>
      </c>
      <c r="G15" s="4" t="s">
        <v>60</v>
      </c>
      <c r="H15" s="4" t="s">
        <v>61</v>
      </c>
      <c r="I15" s="4" t="s">
        <v>36</v>
      </c>
      <c r="J15" s="4" t="s">
        <v>36</v>
      </c>
      <c r="K15" s="4"/>
      <c r="L15" s="4"/>
      <c r="M15" s="4" t="s">
        <v>12</v>
      </c>
    </row>
    <row r="16" spans="1:13" ht="89.25" x14ac:dyDescent="0.25">
      <c r="A16" s="6">
        <v>14</v>
      </c>
      <c r="B16" s="5" t="s">
        <v>24</v>
      </c>
      <c r="C16" s="5" t="s">
        <v>25</v>
      </c>
      <c r="D16" s="5" t="s">
        <v>25</v>
      </c>
      <c r="E16" s="6" t="s">
        <v>26</v>
      </c>
      <c r="F16" s="6" t="s">
        <v>27</v>
      </c>
      <c r="G16" s="6" t="s">
        <v>62</v>
      </c>
      <c r="H16" s="6" t="s">
        <v>63</v>
      </c>
      <c r="I16" s="6" t="s">
        <v>64</v>
      </c>
      <c r="J16" s="6" t="s">
        <v>64</v>
      </c>
      <c r="K16" s="6"/>
      <c r="L16" s="6"/>
      <c r="M16" s="6" t="s">
        <v>12</v>
      </c>
    </row>
    <row r="17" spans="1:13" ht="89.25" x14ac:dyDescent="0.25">
      <c r="A17" s="4">
        <v>15</v>
      </c>
      <c r="B17" s="5" t="s">
        <v>24</v>
      </c>
      <c r="C17" s="5" t="s">
        <v>25</v>
      </c>
      <c r="D17" s="5" t="s">
        <v>25</v>
      </c>
      <c r="E17" s="4" t="s">
        <v>26</v>
      </c>
      <c r="F17" s="4" t="s">
        <v>27</v>
      </c>
      <c r="G17" s="4" t="s">
        <v>65</v>
      </c>
      <c r="H17" s="4" t="s">
        <v>66</v>
      </c>
      <c r="I17" s="4" t="s">
        <v>42</v>
      </c>
      <c r="J17" s="4" t="s">
        <v>42</v>
      </c>
      <c r="K17" s="4"/>
      <c r="L17" s="4"/>
      <c r="M17" s="4" t="s">
        <v>12</v>
      </c>
    </row>
    <row r="18" spans="1:13" ht="114.75" x14ac:dyDescent="0.25">
      <c r="A18" s="6">
        <v>16</v>
      </c>
      <c r="B18" s="5" t="s">
        <v>24</v>
      </c>
      <c r="C18" s="7" t="s">
        <v>67</v>
      </c>
      <c r="D18" s="7" t="s">
        <v>67</v>
      </c>
      <c r="E18" s="6" t="s">
        <v>26</v>
      </c>
      <c r="F18" s="6" t="s">
        <v>27</v>
      </c>
      <c r="G18" s="6" t="s">
        <v>68</v>
      </c>
      <c r="H18" s="6" t="s">
        <v>69</v>
      </c>
      <c r="I18" s="6" t="s">
        <v>70</v>
      </c>
      <c r="J18" s="6" t="s">
        <v>70</v>
      </c>
      <c r="K18" s="6"/>
      <c r="L18" s="6"/>
      <c r="M18" s="6" t="s">
        <v>12</v>
      </c>
    </row>
    <row r="19" spans="1:13" ht="114.75" x14ac:dyDescent="0.25">
      <c r="A19" s="4">
        <v>17</v>
      </c>
      <c r="B19" s="5" t="s">
        <v>24</v>
      </c>
      <c r="C19" s="7" t="s">
        <v>67</v>
      </c>
      <c r="D19" s="7" t="s">
        <v>67</v>
      </c>
      <c r="E19" s="4" t="s">
        <v>26</v>
      </c>
      <c r="F19" s="4" t="s">
        <v>27</v>
      </c>
      <c r="G19" s="4" t="s">
        <v>71</v>
      </c>
      <c r="H19" s="4" t="s">
        <v>72</v>
      </c>
      <c r="I19" s="4" t="s">
        <v>73</v>
      </c>
      <c r="J19" s="4" t="s">
        <v>73</v>
      </c>
      <c r="K19" s="4"/>
      <c r="L19" s="4"/>
      <c r="M19" s="4" t="s">
        <v>12</v>
      </c>
    </row>
    <row r="20" spans="1:13" ht="114.75" x14ac:dyDescent="0.25">
      <c r="A20" s="6">
        <v>18</v>
      </c>
      <c r="B20" s="5" t="s">
        <v>24</v>
      </c>
      <c r="C20" s="7" t="s">
        <v>67</v>
      </c>
      <c r="D20" s="7" t="s">
        <v>67</v>
      </c>
      <c r="E20" s="6" t="s">
        <v>26</v>
      </c>
      <c r="F20" s="6" t="s">
        <v>27</v>
      </c>
      <c r="G20" s="6" t="s">
        <v>74</v>
      </c>
      <c r="H20" s="6" t="s">
        <v>75</v>
      </c>
      <c r="I20" s="6" t="s">
        <v>76</v>
      </c>
      <c r="J20" s="6" t="s">
        <v>76</v>
      </c>
      <c r="K20" s="6"/>
      <c r="L20" s="6"/>
      <c r="M20" s="6" t="s">
        <v>12</v>
      </c>
    </row>
    <row r="21" spans="1:13" ht="114.75" x14ac:dyDescent="0.25">
      <c r="A21" s="4">
        <v>19</v>
      </c>
      <c r="B21" s="7" t="s">
        <v>77</v>
      </c>
      <c r="C21" s="7" t="s">
        <v>67</v>
      </c>
      <c r="D21" s="7" t="s">
        <v>67</v>
      </c>
      <c r="E21" s="4" t="s">
        <v>26</v>
      </c>
      <c r="F21" s="4" t="s">
        <v>27</v>
      </c>
      <c r="G21" s="4" t="s">
        <v>78</v>
      </c>
      <c r="H21" s="4" t="s">
        <v>79</v>
      </c>
      <c r="I21" s="4" t="s">
        <v>80</v>
      </c>
      <c r="J21" s="4" t="s">
        <v>81</v>
      </c>
      <c r="K21" s="4" t="s">
        <v>82</v>
      </c>
      <c r="L21" s="4"/>
      <c r="M21" s="4" t="s">
        <v>12</v>
      </c>
    </row>
    <row r="22" spans="1:13" ht="114.75" x14ac:dyDescent="0.25">
      <c r="A22" s="6">
        <v>20</v>
      </c>
      <c r="B22" s="7" t="s">
        <v>77</v>
      </c>
      <c r="C22" s="7" t="s">
        <v>67</v>
      </c>
      <c r="D22" s="7" t="s">
        <v>67</v>
      </c>
      <c r="E22" s="6" t="s">
        <v>26</v>
      </c>
      <c r="F22" s="6" t="s">
        <v>27</v>
      </c>
      <c r="G22" s="6" t="s">
        <v>83</v>
      </c>
      <c r="H22" s="6" t="s">
        <v>84</v>
      </c>
      <c r="I22" s="6" t="s">
        <v>85</v>
      </c>
      <c r="J22" s="6" t="s">
        <v>81</v>
      </c>
      <c r="K22" s="6" t="s">
        <v>86</v>
      </c>
      <c r="L22" s="6"/>
      <c r="M22" s="6" t="s">
        <v>12</v>
      </c>
    </row>
    <row r="23" spans="1:13" ht="114.75" x14ac:dyDescent="0.25">
      <c r="A23" s="4">
        <v>21</v>
      </c>
      <c r="B23" s="5" t="s">
        <v>24</v>
      </c>
      <c r="C23" s="7" t="s">
        <v>67</v>
      </c>
      <c r="D23" s="7" t="s">
        <v>67</v>
      </c>
      <c r="E23" s="4" t="s">
        <v>26</v>
      </c>
      <c r="F23" s="4" t="s">
        <v>27</v>
      </c>
      <c r="G23" s="4" t="s">
        <v>87</v>
      </c>
      <c r="H23" s="4" t="s">
        <v>88</v>
      </c>
      <c r="I23" s="4" t="s">
        <v>89</v>
      </c>
      <c r="J23" s="4" t="s">
        <v>89</v>
      </c>
      <c r="K23" s="4"/>
      <c r="L23" s="4"/>
      <c r="M23" s="4" t="s">
        <v>12</v>
      </c>
    </row>
    <row r="24" spans="1:13" ht="140.25" x14ac:dyDescent="0.25">
      <c r="A24" s="6">
        <v>22</v>
      </c>
      <c r="B24" s="7" t="s">
        <v>8</v>
      </c>
      <c r="C24" s="7" t="s">
        <v>67</v>
      </c>
      <c r="D24" s="7" t="s">
        <v>67</v>
      </c>
      <c r="E24" s="6" t="s">
        <v>26</v>
      </c>
      <c r="F24" s="6" t="s">
        <v>27</v>
      </c>
      <c r="G24" s="6" t="s">
        <v>90</v>
      </c>
      <c r="H24" s="6" t="s">
        <v>91</v>
      </c>
      <c r="I24" s="6" t="s">
        <v>85</v>
      </c>
      <c r="J24" s="6" t="s">
        <v>81</v>
      </c>
      <c r="K24" s="6" t="s">
        <v>82</v>
      </c>
      <c r="L24" s="6"/>
      <c r="M24" s="6" t="s">
        <v>12</v>
      </c>
    </row>
    <row r="25" spans="1:13" ht="114.75" x14ac:dyDescent="0.25">
      <c r="A25" s="4">
        <v>23</v>
      </c>
      <c r="B25" s="7" t="s">
        <v>8</v>
      </c>
      <c r="C25" s="7" t="s">
        <v>67</v>
      </c>
      <c r="D25" s="7" t="s">
        <v>67</v>
      </c>
      <c r="E25" s="4" t="s">
        <v>26</v>
      </c>
      <c r="F25" s="4" t="s">
        <v>27</v>
      </c>
      <c r="G25" s="4" t="s">
        <v>92</v>
      </c>
      <c r="H25" s="4" t="s">
        <v>93</v>
      </c>
      <c r="I25" s="4" t="s">
        <v>94</v>
      </c>
      <c r="J25" s="4" t="s">
        <v>95</v>
      </c>
      <c r="K25" s="4" t="s">
        <v>96</v>
      </c>
      <c r="L25" s="4"/>
      <c r="M25" s="4" t="s">
        <v>12</v>
      </c>
    </row>
    <row r="26" spans="1:13" ht="114.75" x14ac:dyDescent="0.25">
      <c r="A26" s="6">
        <v>24</v>
      </c>
      <c r="B26" s="7" t="s">
        <v>8</v>
      </c>
      <c r="C26" s="7" t="s">
        <v>67</v>
      </c>
      <c r="D26" s="7" t="s">
        <v>67</v>
      </c>
      <c r="E26" s="6" t="s">
        <v>26</v>
      </c>
      <c r="F26" s="6" t="s">
        <v>27</v>
      </c>
      <c r="G26" s="6" t="s">
        <v>97</v>
      </c>
      <c r="H26" s="6" t="s">
        <v>98</v>
      </c>
      <c r="I26" s="6" t="s">
        <v>99</v>
      </c>
      <c r="J26" s="6" t="s">
        <v>100</v>
      </c>
      <c r="K26" s="6" t="s">
        <v>96</v>
      </c>
      <c r="L26" s="6"/>
      <c r="M26" s="6" t="s">
        <v>12</v>
      </c>
    </row>
    <row r="27" spans="1:13" ht="102" x14ac:dyDescent="0.25">
      <c r="A27" s="4">
        <v>25</v>
      </c>
      <c r="B27" s="7" t="s">
        <v>8</v>
      </c>
      <c r="C27" s="7" t="s">
        <v>67</v>
      </c>
      <c r="D27" s="7" t="s">
        <v>67</v>
      </c>
      <c r="E27" s="4" t="s">
        <v>26</v>
      </c>
      <c r="F27" s="4" t="s">
        <v>27</v>
      </c>
      <c r="G27" s="4" t="s">
        <v>101</v>
      </c>
      <c r="H27" s="4" t="s">
        <v>102</v>
      </c>
      <c r="I27" s="4" t="s">
        <v>94</v>
      </c>
      <c r="J27" s="4" t="s">
        <v>95</v>
      </c>
      <c r="K27" s="4" t="s">
        <v>96</v>
      </c>
      <c r="L27" s="4"/>
      <c r="M27" s="4" t="s">
        <v>12</v>
      </c>
    </row>
    <row r="28" spans="1:13" ht="125.25" customHeight="1" x14ac:dyDescent="0.25">
      <c r="A28" s="6">
        <v>26</v>
      </c>
      <c r="B28" s="7" t="s">
        <v>8</v>
      </c>
      <c r="C28" s="7" t="s">
        <v>67</v>
      </c>
      <c r="D28" s="7" t="s">
        <v>67</v>
      </c>
      <c r="E28" s="6" t="s">
        <v>26</v>
      </c>
      <c r="F28" s="6" t="s">
        <v>27</v>
      </c>
      <c r="G28" s="6" t="s">
        <v>103</v>
      </c>
      <c r="H28" s="6" t="s">
        <v>104</v>
      </c>
      <c r="I28" s="6" t="s">
        <v>105</v>
      </c>
      <c r="J28" s="6" t="s">
        <v>95</v>
      </c>
      <c r="K28" s="6" t="s">
        <v>106</v>
      </c>
      <c r="L28" s="6"/>
      <c r="M28" s="6" t="s">
        <v>12</v>
      </c>
    </row>
    <row r="29" spans="1:13" ht="117" customHeight="1" x14ac:dyDescent="0.25">
      <c r="A29" s="4">
        <v>27</v>
      </c>
      <c r="B29" s="7" t="s">
        <v>8</v>
      </c>
      <c r="C29" s="7" t="s">
        <v>67</v>
      </c>
      <c r="D29" s="7" t="s">
        <v>67</v>
      </c>
      <c r="E29" s="4" t="s">
        <v>26</v>
      </c>
      <c r="F29" s="4" t="s">
        <v>27</v>
      </c>
      <c r="G29" s="4" t="s">
        <v>107</v>
      </c>
      <c r="H29" s="4" t="s">
        <v>108</v>
      </c>
      <c r="I29" s="4" t="s">
        <v>109</v>
      </c>
      <c r="J29" s="4" t="s">
        <v>95</v>
      </c>
      <c r="K29" s="4" t="s">
        <v>106</v>
      </c>
      <c r="L29" s="4"/>
      <c r="M29" s="4" t="s">
        <v>12</v>
      </c>
    </row>
    <row r="30" spans="1:13" ht="94.5" customHeight="1" x14ac:dyDescent="0.25">
      <c r="A30" s="6">
        <v>28</v>
      </c>
      <c r="B30" s="7" t="s">
        <v>8</v>
      </c>
      <c r="C30" s="7" t="s">
        <v>67</v>
      </c>
      <c r="D30" s="7" t="s">
        <v>67</v>
      </c>
      <c r="E30" s="6" t="s">
        <v>26</v>
      </c>
      <c r="F30" s="6" t="s">
        <v>27</v>
      </c>
      <c r="G30" s="6" t="s">
        <v>110</v>
      </c>
      <c r="H30" s="6" t="s">
        <v>111</v>
      </c>
      <c r="I30" s="6" t="s">
        <v>112</v>
      </c>
      <c r="J30" s="6" t="s">
        <v>95</v>
      </c>
      <c r="K30" s="6" t="s">
        <v>113</v>
      </c>
      <c r="L30" s="6"/>
      <c r="M30" s="6" t="s">
        <v>12</v>
      </c>
    </row>
    <row r="31" spans="1:13" ht="114" customHeight="1" x14ac:dyDescent="0.25">
      <c r="A31" s="4">
        <v>29</v>
      </c>
      <c r="B31" s="7" t="s">
        <v>8</v>
      </c>
      <c r="C31" s="7" t="s">
        <v>67</v>
      </c>
      <c r="D31" s="7" t="s">
        <v>67</v>
      </c>
      <c r="E31" s="4" t="s">
        <v>26</v>
      </c>
      <c r="F31" s="4" t="s">
        <v>27</v>
      </c>
      <c r="G31" s="4" t="s">
        <v>114</v>
      </c>
      <c r="H31" s="4" t="s">
        <v>115</v>
      </c>
      <c r="I31" s="4" t="s">
        <v>116</v>
      </c>
      <c r="J31" s="4" t="s">
        <v>95</v>
      </c>
      <c r="K31" s="4" t="s">
        <v>113</v>
      </c>
      <c r="L31" s="4"/>
      <c r="M31" s="4" t="s">
        <v>12</v>
      </c>
    </row>
    <row r="32" spans="1:13" ht="108.75" customHeight="1" x14ac:dyDescent="0.25">
      <c r="A32" s="6">
        <v>30</v>
      </c>
      <c r="B32" s="7" t="s">
        <v>8</v>
      </c>
      <c r="C32" s="7" t="s">
        <v>67</v>
      </c>
      <c r="D32" s="7" t="s">
        <v>67</v>
      </c>
      <c r="E32" s="6" t="s">
        <v>26</v>
      </c>
      <c r="F32" s="6" t="s">
        <v>27</v>
      </c>
      <c r="G32" s="6" t="s">
        <v>117</v>
      </c>
      <c r="H32" s="6" t="s">
        <v>118</v>
      </c>
      <c r="I32" s="6" t="s">
        <v>119</v>
      </c>
      <c r="J32" s="6" t="s">
        <v>95</v>
      </c>
      <c r="K32" s="6" t="s">
        <v>113</v>
      </c>
      <c r="L32" s="6"/>
      <c r="M32" s="6" t="s">
        <v>12</v>
      </c>
    </row>
    <row r="33" spans="1:13" ht="107.25" customHeight="1" x14ac:dyDescent="0.25">
      <c r="A33" s="4">
        <v>31</v>
      </c>
      <c r="B33" s="7" t="s">
        <v>8</v>
      </c>
      <c r="C33" s="7" t="s">
        <v>67</v>
      </c>
      <c r="D33" s="7" t="s">
        <v>67</v>
      </c>
      <c r="E33" s="4" t="s">
        <v>26</v>
      </c>
      <c r="F33" s="4" t="s">
        <v>120</v>
      </c>
      <c r="G33" s="4" t="s">
        <v>121</v>
      </c>
      <c r="H33" s="4" t="s">
        <v>122</v>
      </c>
      <c r="I33" s="4" t="s">
        <v>123</v>
      </c>
      <c r="J33" s="4" t="s">
        <v>124</v>
      </c>
      <c r="K33" s="4" t="s">
        <v>125</v>
      </c>
      <c r="L33" s="4"/>
      <c r="M33" s="4" t="s">
        <v>13</v>
      </c>
    </row>
    <row r="34" spans="1:13" ht="98.25" customHeight="1" x14ac:dyDescent="0.25">
      <c r="A34" s="6">
        <v>32</v>
      </c>
      <c r="B34" s="7" t="s">
        <v>8</v>
      </c>
      <c r="C34" s="7" t="s">
        <v>67</v>
      </c>
      <c r="D34" s="7" t="s">
        <v>67</v>
      </c>
      <c r="E34" s="6" t="s">
        <v>26</v>
      </c>
      <c r="F34" s="6" t="s">
        <v>120</v>
      </c>
      <c r="G34" s="6" t="s">
        <v>126</v>
      </c>
      <c r="H34" s="6" t="s">
        <v>127</v>
      </c>
      <c r="I34" s="6" t="s">
        <v>128</v>
      </c>
      <c r="J34" s="6" t="s">
        <v>124</v>
      </c>
      <c r="K34" s="6" t="s">
        <v>125</v>
      </c>
      <c r="L34" s="6"/>
      <c r="M34" s="6" t="s">
        <v>13</v>
      </c>
    </row>
    <row r="35" spans="1:13" ht="79.5" customHeight="1" x14ac:dyDescent="0.25">
      <c r="A35" s="4">
        <v>33</v>
      </c>
      <c r="B35" s="7" t="s">
        <v>8</v>
      </c>
      <c r="C35" s="7" t="s">
        <v>67</v>
      </c>
      <c r="D35" s="7" t="s">
        <v>67</v>
      </c>
      <c r="E35" s="4" t="s">
        <v>26</v>
      </c>
      <c r="F35" s="4" t="s">
        <v>120</v>
      </c>
      <c r="G35" s="4" t="s">
        <v>129</v>
      </c>
      <c r="H35" s="4" t="s">
        <v>130</v>
      </c>
      <c r="I35" s="4" t="s">
        <v>131</v>
      </c>
      <c r="J35" s="4" t="s">
        <v>124</v>
      </c>
      <c r="K35" s="4" t="s">
        <v>125</v>
      </c>
      <c r="L35" s="4"/>
      <c r="M35" s="4" t="s">
        <v>13</v>
      </c>
    </row>
    <row r="36" spans="1:13" ht="76.5" customHeight="1" x14ac:dyDescent="0.25">
      <c r="A36" s="6">
        <v>34</v>
      </c>
      <c r="B36" s="7" t="s">
        <v>8</v>
      </c>
      <c r="C36" s="7" t="s">
        <v>67</v>
      </c>
      <c r="D36" s="7" t="s">
        <v>67</v>
      </c>
      <c r="E36" s="6" t="s">
        <v>26</v>
      </c>
      <c r="F36" s="6" t="s">
        <v>120</v>
      </c>
      <c r="G36" s="6" t="s">
        <v>132</v>
      </c>
      <c r="H36" s="6" t="s">
        <v>133</v>
      </c>
      <c r="I36" s="6" t="s">
        <v>134</v>
      </c>
      <c r="J36" s="6" t="s">
        <v>124</v>
      </c>
      <c r="K36" s="6" t="s">
        <v>125</v>
      </c>
      <c r="L36" s="6"/>
      <c r="M36" s="6" t="s">
        <v>13</v>
      </c>
    </row>
    <row r="37" spans="1:13" ht="120" customHeight="1" x14ac:dyDescent="0.25">
      <c r="A37" s="4">
        <v>35</v>
      </c>
      <c r="B37" s="5" t="s">
        <v>6</v>
      </c>
      <c r="C37" s="5" t="s">
        <v>25</v>
      </c>
      <c r="D37" s="5" t="s">
        <v>25</v>
      </c>
      <c r="E37" s="4" t="s">
        <v>26</v>
      </c>
      <c r="F37" s="4" t="s">
        <v>135</v>
      </c>
      <c r="G37" s="4" t="s">
        <v>136</v>
      </c>
      <c r="H37" s="4" t="s">
        <v>137</v>
      </c>
      <c r="I37" s="4" t="s">
        <v>138</v>
      </c>
      <c r="J37" s="4" t="s">
        <v>139</v>
      </c>
      <c r="K37" s="4"/>
      <c r="L37" s="4"/>
      <c r="M37" s="4" t="s">
        <v>13</v>
      </c>
    </row>
    <row r="38" spans="1:13" ht="90" customHeight="1" x14ac:dyDescent="0.25">
      <c r="A38" s="6">
        <v>36</v>
      </c>
      <c r="B38" s="7" t="s">
        <v>77</v>
      </c>
      <c r="C38" s="5" t="s">
        <v>25</v>
      </c>
      <c r="D38" s="5" t="s">
        <v>25</v>
      </c>
      <c r="E38" s="6" t="s">
        <v>26</v>
      </c>
      <c r="F38" s="6" t="s">
        <v>120</v>
      </c>
      <c r="G38" s="6" t="s">
        <v>140</v>
      </c>
      <c r="H38" s="6" t="s">
        <v>141</v>
      </c>
      <c r="I38" s="6" t="s">
        <v>142</v>
      </c>
      <c r="J38" s="6" t="s">
        <v>143</v>
      </c>
      <c r="K38" s="6"/>
      <c r="L38" s="6"/>
      <c r="M38" s="6" t="s">
        <v>13</v>
      </c>
    </row>
    <row r="39" spans="1:13" ht="87" customHeight="1" x14ac:dyDescent="0.25">
      <c r="A39" s="4">
        <v>37</v>
      </c>
      <c r="B39" s="5" t="s">
        <v>6</v>
      </c>
      <c r="C39" s="5" t="s">
        <v>25</v>
      </c>
      <c r="D39" s="5" t="s">
        <v>25</v>
      </c>
      <c r="E39" s="4" t="s">
        <v>26</v>
      </c>
      <c r="F39" s="4" t="s">
        <v>135</v>
      </c>
      <c r="G39" s="4" t="s">
        <v>144</v>
      </c>
      <c r="H39" s="4" t="s">
        <v>145</v>
      </c>
      <c r="I39" s="4" t="s">
        <v>146</v>
      </c>
      <c r="J39" s="4" t="s">
        <v>147</v>
      </c>
      <c r="K39" s="4"/>
      <c r="L39" s="4"/>
      <c r="M39" s="4" t="s">
        <v>13</v>
      </c>
    </row>
    <row r="40" spans="1:13" ht="71.25" customHeight="1" x14ac:dyDescent="0.25">
      <c r="A40" s="6">
        <v>38</v>
      </c>
      <c r="B40" s="5" t="s">
        <v>6</v>
      </c>
      <c r="C40" s="5" t="s">
        <v>25</v>
      </c>
      <c r="D40" s="5" t="s">
        <v>25</v>
      </c>
      <c r="E40" s="6" t="s">
        <v>26</v>
      </c>
      <c r="F40" s="6" t="s">
        <v>135</v>
      </c>
      <c r="G40" s="6" t="s">
        <v>148</v>
      </c>
      <c r="H40" s="6" t="s">
        <v>149</v>
      </c>
      <c r="I40" s="6" t="s">
        <v>138</v>
      </c>
      <c r="J40" s="6" t="s">
        <v>139</v>
      </c>
      <c r="K40" s="6"/>
      <c r="L40" s="6"/>
      <c r="M40" s="6" t="s">
        <v>13</v>
      </c>
    </row>
    <row r="41" spans="1:13" ht="94.5" customHeight="1" x14ac:dyDescent="0.25">
      <c r="A41" s="4">
        <v>39</v>
      </c>
      <c r="B41" s="7" t="s">
        <v>8</v>
      </c>
      <c r="C41" s="8" t="s">
        <v>25</v>
      </c>
      <c r="D41" s="5" t="s">
        <v>25</v>
      </c>
      <c r="E41" s="4" t="s">
        <v>26</v>
      </c>
      <c r="F41" s="4" t="s">
        <v>120</v>
      </c>
      <c r="G41" s="4" t="s">
        <v>150</v>
      </c>
      <c r="H41" s="4" t="s">
        <v>151</v>
      </c>
      <c r="I41" s="4" t="s">
        <v>152</v>
      </c>
      <c r="J41" s="4" t="s">
        <v>153</v>
      </c>
      <c r="K41" s="4"/>
      <c r="L41" s="4"/>
      <c r="M41" s="4" t="s">
        <v>13</v>
      </c>
    </row>
    <row r="42" spans="1:13" ht="85.5" customHeight="1" x14ac:dyDescent="0.25">
      <c r="A42" s="6">
        <v>40</v>
      </c>
      <c r="B42" s="5" t="s">
        <v>6</v>
      </c>
      <c r="C42" s="5" t="s">
        <v>25</v>
      </c>
      <c r="D42" s="5" t="s">
        <v>25</v>
      </c>
      <c r="E42" s="6" t="s">
        <v>26</v>
      </c>
      <c r="F42" s="6" t="s">
        <v>135</v>
      </c>
      <c r="G42" s="6" t="s">
        <v>154</v>
      </c>
      <c r="H42" s="6" t="s">
        <v>155</v>
      </c>
      <c r="I42" s="6" t="s">
        <v>146</v>
      </c>
      <c r="J42" s="6" t="s">
        <v>147</v>
      </c>
      <c r="K42" s="6"/>
      <c r="L42" s="6"/>
      <c r="M42" s="6" t="s">
        <v>13</v>
      </c>
    </row>
    <row r="43" spans="1:13" ht="96.75" customHeight="1" x14ac:dyDescent="0.25">
      <c r="A43" s="4">
        <v>41</v>
      </c>
      <c r="B43" s="7" t="s">
        <v>8</v>
      </c>
      <c r="C43" s="7" t="s">
        <v>67</v>
      </c>
      <c r="D43" s="7" t="s">
        <v>67</v>
      </c>
      <c r="E43" s="4" t="s">
        <v>26</v>
      </c>
      <c r="F43" s="4" t="s">
        <v>120</v>
      </c>
      <c r="G43" s="4" t="s">
        <v>156</v>
      </c>
      <c r="H43" s="4" t="s">
        <v>157</v>
      </c>
      <c r="I43" s="4" t="s">
        <v>158</v>
      </c>
      <c r="J43" s="4" t="s">
        <v>159</v>
      </c>
      <c r="K43" s="4" t="s">
        <v>160</v>
      </c>
      <c r="L43" s="4"/>
      <c r="M43" s="4" t="s">
        <v>13</v>
      </c>
    </row>
    <row r="44" spans="1:13" ht="122.25" customHeight="1" x14ac:dyDescent="0.25">
      <c r="A44" s="6">
        <v>42</v>
      </c>
      <c r="B44" s="7" t="s">
        <v>8</v>
      </c>
      <c r="C44" s="7" t="s">
        <v>67</v>
      </c>
      <c r="D44" s="7" t="s">
        <v>67</v>
      </c>
      <c r="E44" s="6" t="s">
        <v>26</v>
      </c>
      <c r="F44" s="6" t="s">
        <v>120</v>
      </c>
      <c r="G44" s="6" t="s">
        <v>161</v>
      </c>
      <c r="H44" s="6" t="s">
        <v>162</v>
      </c>
      <c r="I44" s="6" t="s">
        <v>163</v>
      </c>
      <c r="J44" s="6" t="s">
        <v>159</v>
      </c>
      <c r="K44" s="6" t="s">
        <v>160</v>
      </c>
      <c r="L44" s="6"/>
      <c r="M44" s="6" t="s">
        <v>13</v>
      </c>
    </row>
    <row r="45" spans="1:13" ht="125.25" customHeight="1" x14ac:dyDescent="0.25">
      <c r="A45" s="4">
        <v>43</v>
      </c>
      <c r="B45" s="7" t="s">
        <v>8</v>
      </c>
      <c r="C45" s="7" t="s">
        <v>67</v>
      </c>
      <c r="D45" s="7" t="s">
        <v>67</v>
      </c>
      <c r="E45" s="4" t="s">
        <v>26</v>
      </c>
      <c r="F45" s="4" t="s">
        <v>120</v>
      </c>
      <c r="G45" s="4" t="s">
        <v>164</v>
      </c>
      <c r="H45" s="4" t="s">
        <v>165</v>
      </c>
      <c r="I45" s="4" t="s">
        <v>166</v>
      </c>
      <c r="J45" s="4" t="s">
        <v>159</v>
      </c>
      <c r="K45" s="4" t="s">
        <v>160</v>
      </c>
      <c r="L45" s="4"/>
      <c r="M45" s="4" t="s">
        <v>13</v>
      </c>
    </row>
    <row r="46" spans="1:13" ht="94.5" customHeight="1" x14ac:dyDescent="0.25">
      <c r="A46" s="6">
        <v>44</v>
      </c>
      <c r="B46" s="7" t="s">
        <v>8</v>
      </c>
      <c r="C46" s="7" t="s">
        <v>67</v>
      </c>
      <c r="D46" s="7" t="s">
        <v>67</v>
      </c>
      <c r="E46" s="6" t="s">
        <v>26</v>
      </c>
      <c r="F46" s="6" t="s">
        <v>120</v>
      </c>
      <c r="G46" s="6" t="s">
        <v>167</v>
      </c>
      <c r="H46" s="6" t="s">
        <v>168</v>
      </c>
      <c r="I46" s="6" t="s">
        <v>158</v>
      </c>
      <c r="J46" s="6" t="s">
        <v>159</v>
      </c>
      <c r="K46" s="6" t="s">
        <v>160</v>
      </c>
      <c r="L46" s="6"/>
      <c r="M46" s="6" t="s">
        <v>13</v>
      </c>
    </row>
    <row r="47" spans="1:13" ht="91.5" customHeight="1" x14ac:dyDescent="0.25">
      <c r="A47" s="4">
        <v>45</v>
      </c>
      <c r="B47" s="7" t="s">
        <v>8</v>
      </c>
      <c r="C47" s="7" t="s">
        <v>7</v>
      </c>
      <c r="D47" s="7" t="s">
        <v>7</v>
      </c>
      <c r="E47" s="4" t="s">
        <v>26</v>
      </c>
      <c r="F47" s="4" t="s">
        <v>120</v>
      </c>
      <c r="G47" s="4" t="s">
        <v>169</v>
      </c>
      <c r="H47" s="4" t="s">
        <v>170</v>
      </c>
      <c r="I47" s="4" t="s">
        <v>171</v>
      </c>
      <c r="J47" s="4" t="s">
        <v>172</v>
      </c>
      <c r="K47" s="4"/>
      <c r="L47" s="4"/>
      <c r="M47" s="4" t="s">
        <v>13</v>
      </c>
    </row>
    <row r="48" spans="1:13" ht="78.75" customHeight="1" x14ac:dyDescent="0.25">
      <c r="A48" s="6">
        <v>46</v>
      </c>
      <c r="B48" s="7" t="s">
        <v>8</v>
      </c>
      <c r="C48" s="7" t="s">
        <v>7</v>
      </c>
      <c r="D48" s="7" t="s">
        <v>7</v>
      </c>
      <c r="E48" s="6" t="s">
        <v>26</v>
      </c>
      <c r="F48" s="6" t="s">
        <v>120</v>
      </c>
      <c r="G48" s="6" t="s">
        <v>173</v>
      </c>
      <c r="H48" s="6" t="s">
        <v>174</v>
      </c>
      <c r="I48" s="6" t="s">
        <v>175</v>
      </c>
      <c r="J48" s="6" t="s">
        <v>172</v>
      </c>
      <c r="K48" s="6"/>
      <c r="L48" s="6"/>
      <c r="M48" s="6" t="s">
        <v>13</v>
      </c>
    </row>
    <row r="49" spans="1:13" ht="78.75" customHeight="1" x14ac:dyDescent="0.25">
      <c r="A49" s="4">
        <v>47</v>
      </c>
      <c r="B49" s="7" t="s">
        <v>8</v>
      </c>
      <c r="C49" s="7" t="s">
        <v>7</v>
      </c>
      <c r="D49" s="7" t="s">
        <v>7</v>
      </c>
      <c r="E49" s="4" t="s">
        <v>26</v>
      </c>
      <c r="F49" s="4" t="s">
        <v>120</v>
      </c>
      <c r="G49" s="4" t="s">
        <v>176</v>
      </c>
      <c r="H49" s="4" t="s">
        <v>177</v>
      </c>
      <c r="I49" s="4" t="s">
        <v>178</v>
      </c>
      <c r="J49" s="4" t="s">
        <v>172</v>
      </c>
      <c r="K49" s="4"/>
      <c r="L49" s="4"/>
      <c r="M49" s="4" t="s">
        <v>13</v>
      </c>
    </row>
    <row r="50" spans="1:13" ht="89.25" customHeight="1" x14ac:dyDescent="0.25">
      <c r="A50" s="6">
        <v>48</v>
      </c>
      <c r="B50" s="7" t="s">
        <v>8</v>
      </c>
      <c r="C50" s="7" t="s">
        <v>7</v>
      </c>
      <c r="D50" s="7" t="s">
        <v>7</v>
      </c>
      <c r="E50" s="6" t="s">
        <v>26</v>
      </c>
      <c r="F50" s="6" t="s">
        <v>120</v>
      </c>
      <c r="G50" s="6" t="s">
        <v>179</v>
      </c>
      <c r="H50" s="6" t="s">
        <v>180</v>
      </c>
      <c r="I50" s="6" t="s">
        <v>181</v>
      </c>
      <c r="J50" s="6" t="s">
        <v>172</v>
      </c>
      <c r="K50" s="6"/>
      <c r="L50" s="6"/>
      <c r="M50" s="6" t="s">
        <v>13</v>
      </c>
    </row>
    <row r="51" spans="1:13" ht="94.5" customHeight="1" x14ac:dyDescent="0.25">
      <c r="A51" s="4">
        <v>49</v>
      </c>
      <c r="B51" s="7" t="s">
        <v>8</v>
      </c>
      <c r="C51" s="7" t="s">
        <v>7</v>
      </c>
      <c r="D51" s="7" t="s">
        <v>7</v>
      </c>
      <c r="E51" s="4" t="s">
        <v>26</v>
      </c>
      <c r="F51" s="4" t="s">
        <v>120</v>
      </c>
      <c r="G51" s="4" t="s">
        <v>182</v>
      </c>
      <c r="H51" s="4" t="s">
        <v>183</v>
      </c>
      <c r="I51" s="4" t="s">
        <v>184</v>
      </c>
      <c r="J51" s="4" t="s">
        <v>172</v>
      </c>
      <c r="K51" s="4"/>
      <c r="L51" s="4"/>
      <c r="M51" s="4" t="s">
        <v>13</v>
      </c>
    </row>
    <row r="52" spans="1:13" ht="87" customHeight="1" x14ac:dyDescent="0.25">
      <c r="A52" s="6">
        <v>50</v>
      </c>
      <c r="B52" s="7" t="s">
        <v>8</v>
      </c>
      <c r="C52" s="7" t="s">
        <v>7</v>
      </c>
      <c r="D52" s="7" t="s">
        <v>7</v>
      </c>
      <c r="E52" s="6" t="s">
        <v>26</v>
      </c>
      <c r="F52" s="6" t="s">
        <v>120</v>
      </c>
      <c r="G52" s="6" t="s">
        <v>185</v>
      </c>
      <c r="H52" s="6" t="s">
        <v>186</v>
      </c>
      <c r="I52" s="6" t="s">
        <v>187</v>
      </c>
      <c r="J52" s="6" t="s">
        <v>172</v>
      </c>
      <c r="K52" s="6"/>
      <c r="L52" s="6"/>
      <c r="M52" s="6" t="s">
        <v>13</v>
      </c>
    </row>
    <row r="53" spans="1:13" ht="88.5" customHeight="1" x14ac:dyDescent="0.25">
      <c r="A53" s="4">
        <v>51</v>
      </c>
      <c r="B53" s="7" t="s">
        <v>8</v>
      </c>
      <c r="C53" s="7" t="s">
        <v>7</v>
      </c>
      <c r="D53" s="7" t="s">
        <v>7</v>
      </c>
      <c r="E53" s="4" t="s">
        <v>26</v>
      </c>
      <c r="F53" s="4" t="s">
        <v>120</v>
      </c>
      <c r="G53" s="4" t="s">
        <v>188</v>
      </c>
      <c r="H53" s="4" t="s">
        <v>189</v>
      </c>
      <c r="I53" s="4" t="s">
        <v>190</v>
      </c>
      <c r="J53" s="4" t="s">
        <v>172</v>
      </c>
      <c r="K53" s="4"/>
      <c r="L53" s="4"/>
      <c r="M53" s="4" t="s">
        <v>13</v>
      </c>
    </row>
    <row r="54" spans="1:13" ht="94.5" customHeight="1" x14ac:dyDescent="0.25">
      <c r="A54" s="6">
        <v>52</v>
      </c>
      <c r="B54" s="7" t="s">
        <v>8</v>
      </c>
      <c r="C54" s="7" t="s">
        <v>7</v>
      </c>
      <c r="D54" s="7" t="s">
        <v>7</v>
      </c>
      <c r="E54" s="6" t="s">
        <v>26</v>
      </c>
      <c r="F54" s="6" t="s">
        <v>120</v>
      </c>
      <c r="G54" s="6" t="s">
        <v>191</v>
      </c>
      <c r="H54" s="6" t="s">
        <v>192</v>
      </c>
      <c r="I54" s="6" t="s">
        <v>193</v>
      </c>
      <c r="J54" s="6" t="s">
        <v>172</v>
      </c>
      <c r="K54" s="6"/>
      <c r="L54" s="6"/>
      <c r="M54" s="6" t="s">
        <v>13</v>
      </c>
    </row>
    <row r="55" spans="1:13" ht="88.5" customHeight="1" x14ac:dyDescent="0.25">
      <c r="A55" s="4">
        <v>53</v>
      </c>
      <c r="B55" s="7" t="s">
        <v>8</v>
      </c>
      <c r="C55" s="7" t="s">
        <v>7</v>
      </c>
      <c r="D55" s="7" t="s">
        <v>7</v>
      </c>
      <c r="E55" s="4" t="s">
        <v>26</v>
      </c>
      <c r="F55" s="4" t="s">
        <v>120</v>
      </c>
      <c r="G55" s="4" t="s">
        <v>194</v>
      </c>
      <c r="H55" s="4" t="s">
        <v>195</v>
      </c>
      <c r="I55" s="4" t="s">
        <v>187</v>
      </c>
      <c r="J55" s="4" t="s">
        <v>172</v>
      </c>
      <c r="K55" s="4"/>
      <c r="L55" s="4"/>
      <c r="M55" s="4" t="s">
        <v>13</v>
      </c>
    </row>
    <row r="56" spans="1:13" ht="90" customHeight="1" x14ac:dyDescent="0.25">
      <c r="A56" s="6">
        <v>54</v>
      </c>
      <c r="B56" s="7" t="s">
        <v>8</v>
      </c>
      <c r="C56" s="7" t="s">
        <v>7</v>
      </c>
      <c r="D56" s="7" t="s">
        <v>7</v>
      </c>
      <c r="E56" s="6" t="s">
        <v>26</v>
      </c>
      <c r="F56" s="6" t="s">
        <v>120</v>
      </c>
      <c r="G56" s="6" t="s">
        <v>196</v>
      </c>
      <c r="H56" s="6" t="s">
        <v>197</v>
      </c>
      <c r="I56" s="6" t="s">
        <v>198</v>
      </c>
      <c r="J56" s="6" t="s">
        <v>172</v>
      </c>
      <c r="K56" s="6"/>
      <c r="L56" s="6"/>
      <c r="M56" s="6" t="s">
        <v>13</v>
      </c>
    </row>
    <row r="57" spans="1:13" ht="69.75" customHeight="1" x14ac:dyDescent="0.25">
      <c r="A57" s="4">
        <v>55</v>
      </c>
      <c r="B57" s="7" t="s">
        <v>8</v>
      </c>
      <c r="C57" s="7" t="s">
        <v>7</v>
      </c>
      <c r="D57" s="7" t="s">
        <v>7</v>
      </c>
      <c r="E57" s="4" t="s">
        <v>26</v>
      </c>
      <c r="F57" s="4" t="s">
        <v>120</v>
      </c>
      <c r="G57" s="4" t="s">
        <v>199</v>
      </c>
      <c r="H57" s="4" t="s">
        <v>200</v>
      </c>
      <c r="I57" s="4" t="s">
        <v>201</v>
      </c>
      <c r="J57" s="4" t="s">
        <v>172</v>
      </c>
      <c r="K57" s="4"/>
      <c r="L57" s="4"/>
      <c r="M57" s="4" t="s">
        <v>13</v>
      </c>
    </row>
    <row r="58" spans="1:13" ht="76.5" customHeight="1" x14ac:dyDescent="0.25">
      <c r="A58" s="6">
        <v>56</v>
      </c>
      <c r="B58" s="7" t="s">
        <v>8</v>
      </c>
      <c r="C58" s="7" t="s">
        <v>7</v>
      </c>
      <c r="D58" s="7" t="s">
        <v>7</v>
      </c>
      <c r="E58" s="6" t="s">
        <v>26</v>
      </c>
      <c r="F58" s="6" t="s">
        <v>120</v>
      </c>
      <c r="G58" s="6" t="s">
        <v>202</v>
      </c>
      <c r="H58" s="6" t="s">
        <v>203</v>
      </c>
      <c r="I58" s="6" t="s">
        <v>204</v>
      </c>
      <c r="J58" s="6" t="s">
        <v>172</v>
      </c>
      <c r="K58" s="6"/>
      <c r="L58" s="6"/>
      <c r="M58" s="6" t="s">
        <v>13</v>
      </c>
    </row>
    <row r="59" spans="1:13" ht="72.75" customHeight="1" x14ac:dyDescent="0.25">
      <c r="A59" s="4">
        <v>57</v>
      </c>
      <c r="B59" s="7" t="s">
        <v>8</v>
      </c>
      <c r="C59" s="7" t="s">
        <v>7</v>
      </c>
      <c r="D59" s="7" t="s">
        <v>7</v>
      </c>
      <c r="E59" s="4" t="s">
        <v>26</v>
      </c>
      <c r="F59" s="4" t="s">
        <v>120</v>
      </c>
      <c r="G59" s="4" t="s">
        <v>205</v>
      </c>
      <c r="H59" s="4" t="s">
        <v>206</v>
      </c>
      <c r="I59" s="4" t="s">
        <v>207</v>
      </c>
      <c r="J59" s="4" t="s">
        <v>172</v>
      </c>
      <c r="K59" s="4"/>
      <c r="L59" s="4"/>
      <c r="M59" s="4" t="s">
        <v>13</v>
      </c>
    </row>
    <row r="60" spans="1:13" ht="57" customHeight="1" x14ac:dyDescent="0.25">
      <c r="A60" s="6">
        <v>58</v>
      </c>
      <c r="B60" s="7" t="s">
        <v>8</v>
      </c>
      <c r="C60" s="7" t="s">
        <v>7</v>
      </c>
      <c r="D60" s="7" t="s">
        <v>7</v>
      </c>
      <c r="E60" s="6" t="s">
        <v>26</v>
      </c>
      <c r="F60" s="6" t="s">
        <v>120</v>
      </c>
      <c r="G60" s="6" t="s">
        <v>208</v>
      </c>
      <c r="H60" s="6" t="s">
        <v>209</v>
      </c>
      <c r="I60" s="6" t="s">
        <v>210</v>
      </c>
      <c r="J60" s="6" t="s">
        <v>172</v>
      </c>
      <c r="K60" s="6"/>
      <c r="L60" s="6"/>
      <c r="M60" s="6" t="s">
        <v>13</v>
      </c>
    </row>
  </sheetData>
  <autoFilter ref="A2:M60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cp:revision>1</cp:revision>
  <dcterms:created xsi:type="dcterms:W3CDTF">2026-07-01T00:20:25Z</dcterms:created>
  <dcterms:modified xsi:type="dcterms:W3CDTF">2026-07-01T00:28:49Z</dcterms:modified>
  <dc:language>en-US</dc:language>
</cp:coreProperties>
</file>